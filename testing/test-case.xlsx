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borajbahak/Downloads/slms_complete/testing/"/>
    </mc:Choice>
  </mc:AlternateContent>
  <xr:revisionPtr revIDLastSave="0" documentId="8_{7355EA0B-3F51-6D4C-A636-AD567DA65229}" xr6:coauthVersionLast="47" xr6:coauthVersionMax="47" xr10:uidLastSave="{00000000-0000-0000-0000-000000000000}"/>
  <bookViews>
    <workbookView xWindow="0" yWindow="660" windowWidth="29400" windowHeight="18460" activeTab="2" xr2:uid="{7CD24DAE-78DA-7344-99A8-DAD2CDC5C23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D10" i="1"/>
  <c r="C12" i="1" s="1"/>
  <c r="C10" i="1"/>
</calcChain>
</file>

<file path=xl/sharedStrings.xml><?xml version="1.0" encoding="utf-8"?>
<sst xmlns="http://schemas.openxmlformats.org/spreadsheetml/2006/main" count="255" uniqueCount="162">
  <si>
    <t>Test Results Summary</t>
  </si>
  <si>
    <t>Student Library Management System</t>
  </si>
  <si>
    <t>Testing Area</t>
  </si>
  <si>
    <t>Test Cases</t>
  </si>
  <si>
    <t>Passed</t>
  </si>
  <si>
    <t>Failed</t>
  </si>
  <si>
    <t>Main System</t>
  </si>
  <si>
    <t>Authentication and Security</t>
  </si>
  <si>
    <t>Borrowing and Return</t>
  </si>
  <si>
    <t>Student Access and Library Management</t>
  </si>
  <si>
    <t>Total</t>
  </si>
  <si>
    <t>Overall Pass Rate</t>
  </si>
  <si>
    <t>Failed tests: BR-04 (return status not synced), BR-05 (My Borrowing not filtered per student), ST-01 (no borrowing history), ST-03 (no book edit), ST-04 (no report generation).</t>
  </si>
  <si>
    <t>Main System Test Case</t>
  </si>
  <si>
    <t>Project Name</t>
  </si>
  <si>
    <t>Author</t>
  </si>
  <si>
    <t>Bebo Rajbahak, Aasha, Prashna, Reshma</t>
  </si>
  <si>
    <t>Reviewer</t>
  </si>
  <si>
    <t>Prof. Binod Budhathoki</t>
  </si>
  <si>
    <t>Date</t>
  </si>
  <si>
    <t>Aug-19</t>
  </si>
  <si>
    <t>Priority</t>
  </si>
  <si>
    <t>High</t>
  </si>
  <si>
    <t>Test Case</t>
  </si>
  <si>
    <t>Scenario</t>
  </si>
  <si>
    <t>Objectives</t>
  </si>
  <si>
    <t>Precondition</t>
  </si>
  <si>
    <t>Input</t>
  </si>
  <si>
    <t>Expected Result</t>
  </si>
  <si>
    <t>Actual Result</t>
  </si>
  <si>
    <t>Status</t>
  </si>
  <si>
    <t>Misc. (Comments)</t>
  </si>
  <si>
    <t>TC-01</t>
  </si>
  <si>
    <t>Positive/Unit</t>
  </si>
  <si>
    <t>Verify student login.</t>
  </si>
  <si>
    <t>Student account exists.</t>
  </si>
  <si>
    <t>Correct username and password</t>
  </si>
  <si>
    <t>Student dashboard should open.</t>
  </si>
  <si>
    <t>Dashboard opened successfully.</t>
  </si>
  <si>
    <t>Pass</t>
  </si>
  <si>
    <t>Valid login</t>
  </si>
  <si>
    <t>TC-02</t>
  </si>
  <si>
    <t>Positive/System</t>
  </si>
  <si>
    <t>Search for a book.</t>
  </si>
  <si>
    <t>Student is logged in.</t>
  </si>
  <si>
    <t>Book title (full or partial)</t>
  </si>
  <si>
    <t>Matching book(s) should be displayed.</t>
  </si>
  <si>
    <t>Correct book(s) displayed for full and partial title.</t>
  </si>
  <si>
    <t>Search works</t>
  </si>
  <si>
    <t>TC-03</t>
  </si>
  <si>
    <t>Positive/Integration</t>
  </si>
  <si>
    <t>Add a new book.</t>
  </si>
  <si>
    <t>Librarian is logged in.</t>
  </si>
  <si>
    <t>Title, author, category</t>
  </si>
  <si>
    <t>New book should be added to catalogue.</t>
  </si>
  <si>
    <t>Book added successfully with status Available.</t>
  </si>
  <si>
    <t>Book record created</t>
  </si>
  <si>
    <t>TC-04</t>
  </si>
  <si>
    <t>Negative/Unit</t>
  </si>
  <si>
    <t>Reject incomplete book entry.</t>
  </si>
  <si>
    <t>Librarian is on Manage Books page.</t>
  </si>
  <si>
    <t>Empty title/author fields</t>
  </si>
  <si>
    <t>System should block submission.</t>
  </si>
  <si>
    <t>Alert shown, submission blocked.</t>
  </si>
  <si>
    <t>Validation works</t>
  </si>
  <si>
    <t>TC-05</t>
  </si>
  <si>
    <t>Borrow an available book.</t>
  </si>
  <si>
    <t>Student is logged in and book is available.</t>
  </si>
  <si>
    <t>Book selection</t>
  </si>
  <si>
    <t>Book should be issued and record created.</t>
  </si>
  <si>
    <t>Status changed to Issued, issue/due dates recorded.</t>
  </si>
  <si>
    <t>Borrow successful</t>
  </si>
  <si>
    <t>Authentication and Security Test Case Table</t>
  </si>
  <si>
    <t>SEC-01</t>
  </si>
  <si>
    <t>Verify role-based login.</t>
  </si>
  <si>
    <t>Valid account exists for each role.</t>
  </si>
  <si>
    <t>Correct credentials</t>
  </si>
  <si>
    <t>Correct dashboard should open for the account's role.</t>
  </si>
  <si>
    <t>Admin, Librarian, and Student dashboards opened correctly.</t>
  </si>
  <si>
    <t>Authentication successful</t>
  </si>
  <si>
    <t>SEC-02</t>
  </si>
  <si>
    <t>Negative/Security</t>
  </si>
  <si>
    <t>Reject incorrect login credentials.</t>
  </si>
  <si>
    <t>Login page is available.</t>
  </si>
  <si>
    <t>Wrong password</t>
  </si>
  <si>
    <t>Access should be denied.</t>
  </si>
  <si>
    <t>"Invalid email or password" error displayed.</t>
  </si>
  <si>
    <t>Invalid credentials rejected</t>
  </si>
  <si>
    <t>SEC-03</t>
  </si>
  <si>
    <t>Restrict unauthorized admin access.</t>
  </si>
  <si>
    <t>Direct navigation to Manage Users page</t>
  </si>
  <si>
    <t>Student should be denied access.</t>
  </si>
  <si>
    <t>Redirected away from the page.</t>
  </si>
  <si>
    <t>Role restriction works</t>
  </si>
  <si>
    <t>Borrowing and Return Test Case Table</t>
  </si>
  <si>
    <t>BR-01</t>
  </si>
  <si>
    <t>Check book availability.</t>
  </si>
  <si>
    <t>Available book</t>
  </si>
  <si>
    <t>System should show book as available.</t>
  </si>
  <si>
    <t>Book shown as Available in catalogue.</t>
  </si>
  <si>
    <t>Availability checked</t>
  </si>
  <si>
    <t>BR-02</t>
  </si>
  <si>
    <t>Create borrow record.</t>
  </si>
  <si>
    <t>Book is available.</t>
  </si>
  <si>
    <t>Student name and book selection</t>
  </si>
  <si>
    <t>Borrow record should be created.</t>
  </si>
  <si>
    <t>Record created with issue date and due date.</t>
  </si>
  <si>
    <t>Record saved</t>
  </si>
  <si>
    <t>BR-03</t>
  </si>
  <si>
    <t>Negative/System</t>
  </si>
  <si>
    <t>Prevent borrowing an unavailable book.</t>
  </si>
  <si>
    <t>Book is already issued.</t>
  </si>
  <si>
    <t>Select the same book again</t>
  </si>
  <si>
    <t>System should prevent borrowing.</t>
  </si>
  <si>
    <t>Book not selectable; alert shown if forced.</t>
  </si>
  <si>
    <t>Correct message shown</t>
  </si>
  <si>
    <t>BR-04</t>
  </si>
  <si>
    <t>Return a borrowed book.</t>
  </si>
  <si>
    <t>Student has a borrowed book.</t>
  </si>
  <si>
    <t>Click Return on Manage Books</t>
  </si>
  <si>
    <t>Book status should change to Available on all pages that reference it.</t>
  </si>
  <si>
    <t>Status updated to Available on Manage Books, but the same book still shows as "Issued" on the My Borrowing page.</t>
  </si>
  <si>
    <t>Fail</t>
  </si>
  <si>
    <t>Return does not sync with My Borrowing record</t>
  </si>
  <si>
    <t>BR-05</t>
  </si>
  <si>
    <t>Confirm My Borrowing is scoped to one student.</t>
  </si>
  <si>
    <t>Multiple students have issued books.</t>
  </si>
  <si>
    <t>Log in as one student, open My Borrowing</t>
  </si>
  <si>
    <t>Only that student's own issued books should be listed.</t>
  </si>
  <si>
    <t>Page lists all students' issued books, not just the logged-in student's.</t>
  </si>
  <si>
    <t>Missing per-student filtering</t>
  </si>
  <si>
    <t>Student Access and Book Management Test Case Table</t>
  </si>
  <si>
    <t>Medium</t>
  </si>
  <si>
    <t>ST-01</t>
  </si>
  <si>
    <t>View borrowing history.</t>
  </si>
  <si>
    <t>Open borrowing history view</t>
  </si>
  <si>
    <t>Student should see a log of past borrowed and returned books.</t>
  </si>
  <si>
    <t>No history view exists; only currently issued books are shown, and only on a separate page.</t>
  </si>
  <si>
    <t>Feature not implemented</t>
  </si>
  <si>
    <t>ST-02</t>
  </si>
  <si>
    <t>Book details</t>
  </si>
  <si>
    <t>New book should be added.</t>
  </si>
  <si>
    <t>Book added successfully and listed in catalogue.</t>
  </si>
  <si>
    <t>ST-03</t>
  </si>
  <si>
    <t>Update existing book details.</t>
  </si>
  <si>
    <t>Librarian is logged in and a book already exists.</t>
  </si>
  <si>
    <t>Updated title/author/category</t>
  </si>
  <si>
    <t>Book information should be updated in place.</t>
  </si>
  <si>
    <t>No edit option exists on Manage Books; only Issue/Return status can be toggled.</t>
  </si>
  <si>
    <t>ST-04</t>
  </si>
  <si>
    <t>Positive/UAT</t>
  </si>
  <si>
    <t>Generate library report.</t>
  </si>
  <si>
    <t>Request a report</t>
  </si>
  <si>
    <t>System should generate a report of library activity.</t>
  </si>
  <si>
    <t>No Reports page or export/summary feature exists in the current build.</t>
  </si>
  <si>
    <t>ST-05</t>
  </si>
  <si>
    <t>Manage user accounts.</t>
  </si>
  <si>
    <t>Admin is logged in.</t>
  </si>
  <si>
    <t>New user's name, email, role</t>
  </si>
  <si>
    <t>New user account should be created with the selected role.</t>
  </si>
  <si>
    <t>User added and listed correctly; non-admins correctly blocked from this page.</t>
  </si>
  <si>
    <t>Account management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</si>
</sst>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i/>
      <sz val="9"/>
      <name val="Times New Roman"/>
      <family val="1"/>
    </font>
    <font>
      <b/>
      <sz val="10"/>
      <color rgb="FF006100"/>
      <name val="Times New Roman"/>
      <family val="1"/>
    </font>
    <font>
      <b/>
      <sz val="10"/>
      <color rgb="FF9C000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/>
    <xf numFmtId="168" fontId="6" fillId="0" borderId="0" xfId="0" applyNumberFormat="1" applyFont="1"/>
    <xf numFmtId="0" fontId="7" fillId="0" borderId="0" xfId="0" applyFont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A50B-E7C7-394D-9DF7-58346C370083}">
  <dimension ref="B2:I14"/>
  <sheetViews>
    <sheetView workbookViewId="0">
      <selection activeCell="B24" sqref="A1:XFD1048576"/>
    </sheetView>
  </sheetViews>
  <sheetFormatPr baseColWidth="10" defaultColWidth="8.6640625" defaultRowHeight="16" x14ac:dyDescent="0.2"/>
  <cols>
    <col min="1" max="1" width="8.6640625" style="1"/>
    <col min="2" max="2" width="40" style="1" customWidth="1"/>
    <col min="3" max="3" width="14" style="1" customWidth="1"/>
    <col min="4" max="5" width="12" style="1" customWidth="1"/>
    <col min="6" max="16384" width="8.6640625" style="1"/>
  </cols>
  <sheetData>
    <row r="2" spans="2:9" ht="18" x14ac:dyDescent="0.2">
      <c r="B2" s="2" t="s">
        <v>0</v>
      </c>
    </row>
    <row r="3" spans="2:9" x14ac:dyDescent="0.2">
      <c r="B3" s="3" t="s">
        <v>1</v>
      </c>
    </row>
    <row r="5" spans="2:9" x14ac:dyDescent="0.2">
      <c r="B5" s="4" t="s">
        <v>2</v>
      </c>
      <c r="C5" s="4" t="s">
        <v>3</v>
      </c>
      <c r="D5" s="4" t="s">
        <v>4</v>
      </c>
      <c r="E5" s="4" t="s">
        <v>5</v>
      </c>
    </row>
    <row r="6" spans="2:9" x14ac:dyDescent="0.2">
      <c r="B6" s="5" t="s">
        <v>6</v>
      </c>
      <c r="C6" s="5">
        <v>5</v>
      </c>
      <c r="D6" s="5">
        <v>5</v>
      </c>
      <c r="E6" s="5">
        <v>0</v>
      </c>
    </row>
    <row r="7" spans="2:9" x14ac:dyDescent="0.2">
      <c r="B7" s="5" t="s">
        <v>7</v>
      </c>
      <c r="C7" s="5">
        <v>3</v>
      </c>
      <c r="D7" s="5">
        <v>3</v>
      </c>
      <c r="E7" s="5">
        <v>0</v>
      </c>
    </row>
    <row r="8" spans="2:9" x14ac:dyDescent="0.2">
      <c r="B8" s="5" t="s">
        <v>8</v>
      </c>
      <c r="C8" s="5">
        <v>5</v>
      </c>
      <c r="D8" s="5">
        <v>3</v>
      </c>
      <c r="E8" s="5">
        <v>2</v>
      </c>
    </row>
    <row r="9" spans="2:9" x14ac:dyDescent="0.2">
      <c r="B9" s="5" t="s">
        <v>9</v>
      </c>
      <c r="C9" s="5">
        <v>5</v>
      </c>
      <c r="D9" s="5">
        <v>2</v>
      </c>
      <c r="E9" s="5">
        <v>3</v>
      </c>
    </row>
    <row r="10" spans="2:9" x14ac:dyDescent="0.2">
      <c r="B10" s="6" t="s">
        <v>10</v>
      </c>
      <c r="C10" s="6">
        <f>SUM(C6:C9)</f>
        <v>18</v>
      </c>
      <c r="D10" s="6">
        <f>SUM(D6:D9)</f>
        <v>13</v>
      </c>
      <c r="E10" s="6">
        <f>SUM(E6:E9)</f>
        <v>5</v>
      </c>
    </row>
    <row r="12" spans="2:9" x14ac:dyDescent="0.2">
      <c r="B12" s="7" t="s">
        <v>11</v>
      </c>
      <c r="C12" s="8">
        <f>D10/C10</f>
        <v>0.72222222222222221</v>
      </c>
    </row>
    <row r="14" spans="2:9" ht="22.25" customHeight="1" x14ac:dyDescent="0.2">
      <c r="B14" s="9" t="s">
        <v>12</v>
      </c>
      <c r="C14" s="9"/>
      <c r="D14" s="9"/>
      <c r="E14" s="9"/>
      <c r="F14" s="9"/>
      <c r="G14" s="9"/>
      <c r="H14" s="9"/>
      <c r="I14" s="9"/>
    </row>
  </sheetData>
  <mergeCells count="1">
    <mergeCell ref="B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43BD-D503-0345-8B88-05514BA54EAD}">
  <dimension ref="B2:J14"/>
  <sheetViews>
    <sheetView workbookViewId="0">
      <selection activeCell="C20" sqref="C20"/>
    </sheetView>
  </sheetViews>
  <sheetFormatPr baseColWidth="10" defaultColWidth="8.6640625" defaultRowHeight="16" x14ac:dyDescent="0.2"/>
  <cols>
    <col min="1" max="1" width="8.6640625" style="1"/>
    <col min="2" max="2" width="11" style="1" customWidth="1"/>
    <col min="3" max="3" width="30.5" style="1" customWidth="1"/>
    <col min="4" max="4" width="22" style="1" customWidth="1"/>
    <col min="5" max="5" width="26" style="1" customWidth="1"/>
    <col min="6" max="6" width="22" style="1" customWidth="1"/>
    <col min="7" max="8" width="30" style="1" customWidth="1"/>
    <col min="9" max="9" width="9" style="1" customWidth="1"/>
    <col min="10" max="10" width="18" style="1" customWidth="1"/>
    <col min="11" max="16384" width="8.6640625" style="1"/>
  </cols>
  <sheetData>
    <row r="2" spans="2:10" ht="18" x14ac:dyDescent="0.2">
      <c r="B2" s="2" t="s">
        <v>13</v>
      </c>
    </row>
    <row r="3" spans="2:10" x14ac:dyDescent="0.2">
      <c r="B3" s="3" t="s">
        <v>14</v>
      </c>
      <c r="C3" s="10" t="s">
        <v>1</v>
      </c>
    </row>
    <row r="4" spans="2:10" x14ac:dyDescent="0.2">
      <c r="B4" s="3" t="s">
        <v>15</v>
      </c>
      <c r="C4" s="10" t="s">
        <v>16</v>
      </c>
    </row>
    <row r="5" spans="2:10" x14ac:dyDescent="0.2">
      <c r="B5" s="3" t="s">
        <v>17</v>
      </c>
      <c r="C5" s="10" t="s">
        <v>18</v>
      </c>
    </row>
    <row r="6" spans="2:10" x14ac:dyDescent="0.2">
      <c r="B6" s="3" t="s">
        <v>19</v>
      </c>
      <c r="C6" s="10" t="s">
        <v>20</v>
      </c>
    </row>
    <row r="7" spans="2:10" x14ac:dyDescent="0.2">
      <c r="B7" s="3" t="s">
        <v>21</v>
      </c>
      <c r="C7" s="10" t="s">
        <v>22</v>
      </c>
    </row>
    <row r="9" spans="2:10" x14ac:dyDescent="0.2"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</row>
    <row r="10" spans="2:10" ht="28" x14ac:dyDescent="0.2">
      <c r="B10" s="11" t="s">
        <v>32</v>
      </c>
      <c r="C10" s="11" t="s">
        <v>33</v>
      </c>
      <c r="D10" s="11" t="s">
        <v>34</v>
      </c>
      <c r="E10" s="11" t="s">
        <v>35</v>
      </c>
      <c r="F10" s="11" t="s">
        <v>36</v>
      </c>
      <c r="G10" s="11" t="s">
        <v>37</v>
      </c>
      <c r="H10" s="11" t="s">
        <v>38</v>
      </c>
      <c r="I10" s="12" t="s">
        <v>39</v>
      </c>
      <c r="J10" s="11" t="s">
        <v>40</v>
      </c>
    </row>
    <row r="11" spans="2:10" ht="28" x14ac:dyDescent="0.2">
      <c r="B11" s="11" t="s">
        <v>41</v>
      </c>
      <c r="C11" s="11" t="s">
        <v>42</v>
      </c>
      <c r="D11" s="11" t="s">
        <v>43</v>
      </c>
      <c r="E11" s="11" t="s">
        <v>44</v>
      </c>
      <c r="F11" s="11" t="s">
        <v>45</v>
      </c>
      <c r="G11" s="11" t="s">
        <v>46</v>
      </c>
      <c r="H11" s="11" t="s">
        <v>47</v>
      </c>
      <c r="I11" s="12" t="s">
        <v>39</v>
      </c>
      <c r="J11" s="11" t="s">
        <v>48</v>
      </c>
    </row>
    <row r="12" spans="2:10" ht="28" x14ac:dyDescent="0.2">
      <c r="B12" s="11" t="s">
        <v>49</v>
      </c>
      <c r="C12" s="11" t="s">
        <v>50</v>
      </c>
      <c r="D12" s="11" t="s">
        <v>51</v>
      </c>
      <c r="E12" s="11" t="s">
        <v>52</v>
      </c>
      <c r="F12" s="11" t="s">
        <v>53</v>
      </c>
      <c r="G12" s="11" t="s">
        <v>54</v>
      </c>
      <c r="H12" s="11" t="s">
        <v>55</v>
      </c>
      <c r="I12" s="12" t="s">
        <v>39</v>
      </c>
      <c r="J12" s="11" t="s">
        <v>56</v>
      </c>
    </row>
    <row r="13" spans="2:10" x14ac:dyDescent="0.2">
      <c r="B13" s="11" t="s">
        <v>57</v>
      </c>
      <c r="C13" s="11" t="s">
        <v>58</v>
      </c>
      <c r="D13" s="11" t="s">
        <v>59</v>
      </c>
      <c r="E13" s="11" t="s">
        <v>60</v>
      </c>
      <c r="F13" s="11" t="s">
        <v>61</v>
      </c>
      <c r="G13" s="11" t="s">
        <v>62</v>
      </c>
      <c r="H13" s="11" t="s">
        <v>63</v>
      </c>
      <c r="I13" s="12" t="s">
        <v>39</v>
      </c>
      <c r="J13" s="11" t="s">
        <v>64</v>
      </c>
    </row>
    <row r="14" spans="2:10" ht="28" x14ac:dyDescent="0.2">
      <c r="B14" s="11" t="s">
        <v>65</v>
      </c>
      <c r="C14" s="11" t="s">
        <v>50</v>
      </c>
      <c r="D14" s="11" t="s">
        <v>66</v>
      </c>
      <c r="E14" s="11" t="s">
        <v>67</v>
      </c>
      <c r="F14" s="11" t="s">
        <v>68</v>
      </c>
      <c r="G14" s="11" t="s">
        <v>69</v>
      </c>
      <c r="H14" s="11" t="s">
        <v>70</v>
      </c>
      <c r="I14" s="12" t="s">
        <v>39</v>
      </c>
      <c r="J14" s="1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8940-41B8-5946-A1B8-10F87D4DD995}">
  <dimension ref="B2:J12"/>
  <sheetViews>
    <sheetView tabSelected="1" workbookViewId="0">
      <selection activeCell="B3" sqref="B3"/>
    </sheetView>
  </sheetViews>
  <sheetFormatPr baseColWidth="10" defaultColWidth="36.83203125" defaultRowHeight="16" x14ac:dyDescent="0.2"/>
  <cols>
    <col min="1" max="16384" width="36.83203125" style="1"/>
  </cols>
  <sheetData>
    <row r="2" spans="2:10" ht="18" x14ac:dyDescent="0.2">
      <c r="B2" s="2" t="s">
        <v>72</v>
      </c>
    </row>
    <row r="3" spans="2:10" x14ac:dyDescent="0.2">
      <c r="B3" s="3" t="s">
        <v>14</v>
      </c>
      <c r="C3" s="10" t="s">
        <v>1</v>
      </c>
    </row>
    <row r="4" spans="2:10" x14ac:dyDescent="0.2">
      <c r="B4" s="3" t="s">
        <v>15</v>
      </c>
      <c r="C4" s="10" t="s">
        <v>16</v>
      </c>
    </row>
    <row r="5" spans="2:10" x14ac:dyDescent="0.2">
      <c r="B5" s="3" t="s">
        <v>17</v>
      </c>
      <c r="C5" s="10" t="s">
        <v>18</v>
      </c>
    </row>
    <row r="6" spans="2:10" x14ac:dyDescent="0.2">
      <c r="B6" s="3" t="s">
        <v>19</v>
      </c>
      <c r="C6" s="10" t="s">
        <v>20</v>
      </c>
    </row>
    <row r="7" spans="2:10" x14ac:dyDescent="0.2">
      <c r="B7" s="3" t="s">
        <v>21</v>
      </c>
      <c r="C7" s="10" t="s">
        <v>22</v>
      </c>
    </row>
    <row r="9" spans="2:10" x14ac:dyDescent="0.2"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</row>
    <row r="10" spans="2:10" ht="28" x14ac:dyDescent="0.2">
      <c r="B10" s="11" t="s">
        <v>73</v>
      </c>
      <c r="C10" s="11" t="s">
        <v>33</v>
      </c>
      <c r="D10" s="11" t="s">
        <v>74</v>
      </c>
      <c r="E10" s="11" t="s">
        <v>75</v>
      </c>
      <c r="F10" s="11" t="s">
        <v>76</v>
      </c>
      <c r="G10" s="11" t="s">
        <v>77</v>
      </c>
      <c r="H10" s="11" t="s">
        <v>78</v>
      </c>
      <c r="I10" s="12" t="s">
        <v>39</v>
      </c>
      <c r="J10" s="11" t="s">
        <v>79</v>
      </c>
    </row>
    <row r="11" spans="2:10" ht="28" x14ac:dyDescent="0.2">
      <c r="B11" s="11" t="s">
        <v>80</v>
      </c>
      <c r="C11" s="11" t="s">
        <v>81</v>
      </c>
      <c r="D11" s="11" t="s">
        <v>82</v>
      </c>
      <c r="E11" s="11" t="s">
        <v>83</v>
      </c>
      <c r="F11" s="11" t="s">
        <v>84</v>
      </c>
      <c r="G11" s="11" t="s">
        <v>85</v>
      </c>
      <c r="H11" s="11" t="s">
        <v>86</v>
      </c>
      <c r="I11" s="12" t="s">
        <v>39</v>
      </c>
      <c r="J11" s="11" t="s">
        <v>87</v>
      </c>
    </row>
    <row r="12" spans="2:10" ht="28" x14ac:dyDescent="0.2">
      <c r="B12" s="11" t="s">
        <v>88</v>
      </c>
      <c r="C12" s="11" t="s">
        <v>81</v>
      </c>
      <c r="D12" s="11" t="s">
        <v>89</v>
      </c>
      <c r="E12" s="11" t="s">
        <v>44</v>
      </c>
      <c r="F12" s="11" t="s">
        <v>90</v>
      </c>
      <c r="G12" s="11" t="s">
        <v>91</v>
      </c>
      <c r="H12" s="11" t="s">
        <v>92</v>
      </c>
      <c r="I12" s="12" t="s">
        <v>39</v>
      </c>
      <c r="J12" s="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5BF1-20A2-4545-9B65-C6228BCD160B}">
  <dimension ref="B2:J14"/>
  <sheetViews>
    <sheetView workbookViewId="0">
      <selection activeCell="C20" sqref="C20"/>
    </sheetView>
  </sheetViews>
  <sheetFormatPr baseColWidth="10" defaultColWidth="8.6640625" defaultRowHeight="16" x14ac:dyDescent="0.2"/>
  <cols>
    <col min="1" max="1" width="8.6640625" style="1"/>
    <col min="2" max="2" width="41.5" style="1" bestFit="1" customWidth="1"/>
    <col min="3" max="3" width="29.33203125" style="1" bestFit="1" customWidth="1"/>
    <col min="4" max="4" width="19.1640625" style="1" bestFit="1" customWidth="1"/>
    <col min="5" max="5" width="21.5" style="1" bestFit="1" customWidth="1"/>
    <col min="6" max="6" width="20" style="1" bestFit="1" customWidth="1"/>
    <col min="7" max="7" width="28.33203125" style="1" bestFit="1" customWidth="1"/>
    <col min="8" max="8" width="33.5" style="1" bestFit="1" customWidth="1"/>
    <col min="9" max="9" width="6.1640625" style="1" bestFit="1" customWidth="1"/>
    <col min="10" max="10" width="22" style="1" customWidth="1"/>
    <col min="11" max="16384" width="8.6640625" style="1"/>
  </cols>
  <sheetData>
    <row r="2" spans="2:10" ht="18" x14ac:dyDescent="0.2">
      <c r="B2" s="2" t="s">
        <v>94</v>
      </c>
    </row>
    <row r="3" spans="2:10" x14ac:dyDescent="0.2">
      <c r="B3" s="3" t="s">
        <v>14</v>
      </c>
      <c r="C3" s="10" t="s">
        <v>1</v>
      </c>
    </row>
    <row r="4" spans="2:10" x14ac:dyDescent="0.2">
      <c r="B4" s="3" t="s">
        <v>15</v>
      </c>
      <c r="C4" s="10" t="s">
        <v>16</v>
      </c>
    </row>
    <row r="5" spans="2:10" x14ac:dyDescent="0.2">
      <c r="B5" s="3" t="s">
        <v>17</v>
      </c>
      <c r="C5" s="10" t="s">
        <v>18</v>
      </c>
    </row>
    <row r="6" spans="2:10" x14ac:dyDescent="0.2">
      <c r="B6" s="3" t="s">
        <v>19</v>
      </c>
      <c r="C6" s="10" t="s">
        <v>20</v>
      </c>
    </row>
    <row r="7" spans="2:10" x14ac:dyDescent="0.2">
      <c r="B7" s="3" t="s">
        <v>21</v>
      </c>
      <c r="C7" s="10" t="s">
        <v>22</v>
      </c>
    </row>
    <row r="9" spans="2:10" x14ac:dyDescent="0.2"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</row>
    <row r="10" spans="2:10" x14ac:dyDescent="0.2">
      <c r="B10" s="11" t="s">
        <v>95</v>
      </c>
      <c r="C10" s="11" t="s">
        <v>50</v>
      </c>
      <c r="D10" s="11" t="s">
        <v>96</v>
      </c>
      <c r="E10" s="11" t="s">
        <v>44</v>
      </c>
      <c r="F10" s="11" t="s">
        <v>97</v>
      </c>
      <c r="G10" s="11" t="s">
        <v>98</v>
      </c>
      <c r="H10" s="11" t="s">
        <v>99</v>
      </c>
      <c r="I10" s="12" t="s">
        <v>39</v>
      </c>
      <c r="J10" s="11" t="s">
        <v>100</v>
      </c>
    </row>
    <row r="11" spans="2:10" ht="28" x14ac:dyDescent="0.2">
      <c r="B11" s="11" t="s">
        <v>101</v>
      </c>
      <c r="C11" s="11" t="s">
        <v>50</v>
      </c>
      <c r="D11" s="11" t="s">
        <v>102</v>
      </c>
      <c r="E11" s="11" t="s">
        <v>103</v>
      </c>
      <c r="F11" s="11" t="s">
        <v>104</v>
      </c>
      <c r="G11" s="11" t="s">
        <v>105</v>
      </c>
      <c r="H11" s="11" t="s">
        <v>106</v>
      </c>
      <c r="I11" s="12" t="s">
        <v>39</v>
      </c>
      <c r="J11" s="11" t="s">
        <v>107</v>
      </c>
    </row>
    <row r="12" spans="2:10" ht="28" x14ac:dyDescent="0.2">
      <c r="B12" s="11" t="s">
        <v>108</v>
      </c>
      <c r="C12" s="11" t="s">
        <v>109</v>
      </c>
      <c r="D12" s="11" t="s">
        <v>110</v>
      </c>
      <c r="E12" s="11" t="s">
        <v>111</v>
      </c>
      <c r="F12" s="11" t="s">
        <v>112</v>
      </c>
      <c r="G12" s="11" t="s">
        <v>113</v>
      </c>
      <c r="H12" s="11" t="s">
        <v>114</v>
      </c>
      <c r="I12" s="12" t="s">
        <v>39</v>
      </c>
      <c r="J12" s="11" t="s">
        <v>115</v>
      </c>
    </row>
    <row r="13" spans="2:10" ht="42" x14ac:dyDescent="0.2">
      <c r="B13" s="11" t="s">
        <v>116</v>
      </c>
      <c r="C13" s="11" t="s">
        <v>42</v>
      </c>
      <c r="D13" s="11" t="s">
        <v>117</v>
      </c>
      <c r="E13" s="11" t="s">
        <v>118</v>
      </c>
      <c r="F13" s="11" t="s">
        <v>119</v>
      </c>
      <c r="G13" s="11" t="s">
        <v>120</v>
      </c>
      <c r="H13" s="11" t="s">
        <v>121</v>
      </c>
      <c r="I13" s="13" t="s">
        <v>122</v>
      </c>
      <c r="J13" s="11" t="s">
        <v>123</v>
      </c>
    </row>
    <row r="14" spans="2:10" ht="28" x14ac:dyDescent="0.2">
      <c r="B14" s="11" t="s">
        <v>124</v>
      </c>
      <c r="C14" s="11" t="s">
        <v>109</v>
      </c>
      <c r="D14" s="11" t="s">
        <v>125</v>
      </c>
      <c r="E14" s="11" t="s">
        <v>126</v>
      </c>
      <c r="F14" s="11" t="s">
        <v>127</v>
      </c>
      <c r="G14" s="11" t="s">
        <v>128</v>
      </c>
      <c r="H14" s="11" t="s">
        <v>129</v>
      </c>
      <c r="I14" s="13" t="s">
        <v>122</v>
      </c>
      <c r="J14" s="1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559B-15AD-4049-9193-08B2561C98B7}">
  <dimension ref="B2:J14"/>
  <sheetViews>
    <sheetView workbookViewId="0">
      <selection activeCell="D9" sqref="D9"/>
    </sheetView>
  </sheetViews>
  <sheetFormatPr baseColWidth="10" defaultColWidth="8.6640625" defaultRowHeight="16" x14ac:dyDescent="0.2"/>
  <cols>
    <col min="1" max="1" width="8.6640625" style="1"/>
    <col min="2" max="2" width="17.6640625" style="1" customWidth="1"/>
    <col min="3" max="3" width="46.1640625" style="1" customWidth="1"/>
    <col min="4" max="4" width="22" style="1" customWidth="1"/>
    <col min="5" max="5" width="30" style="1" customWidth="1"/>
    <col min="6" max="6" width="22" style="1" customWidth="1"/>
    <col min="7" max="8" width="34" style="1" customWidth="1"/>
    <col min="9" max="9" width="9" style="1" customWidth="1"/>
    <col min="10" max="10" width="20" style="1" customWidth="1"/>
    <col min="11" max="16384" width="8.6640625" style="1"/>
  </cols>
  <sheetData>
    <row r="2" spans="2:10" ht="18" x14ac:dyDescent="0.2">
      <c r="B2" s="2" t="s">
        <v>131</v>
      </c>
    </row>
    <row r="3" spans="2:10" x14ac:dyDescent="0.2">
      <c r="B3" s="3" t="s">
        <v>14</v>
      </c>
      <c r="C3" s="10" t="s">
        <v>1</v>
      </c>
    </row>
    <row r="4" spans="2:10" x14ac:dyDescent="0.2">
      <c r="B4" s="3" t="s">
        <v>15</v>
      </c>
      <c r="C4" s="10" t="s">
        <v>16</v>
      </c>
    </row>
    <row r="5" spans="2:10" x14ac:dyDescent="0.2">
      <c r="B5" s="3" t="s">
        <v>17</v>
      </c>
      <c r="C5" s="10" t="s">
        <v>18</v>
      </c>
    </row>
    <row r="6" spans="2:10" x14ac:dyDescent="0.2">
      <c r="B6" s="3" t="s">
        <v>21</v>
      </c>
      <c r="C6" s="10" t="s">
        <v>132</v>
      </c>
    </row>
    <row r="7" spans="2:10" x14ac:dyDescent="0.2">
      <c r="B7" s="3" t="s">
        <v>21</v>
      </c>
      <c r="C7" s="10" t="s">
        <v>22</v>
      </c>
    </row>
    <row r="9" spans="2:10" x14ac:dyDescent="0.2"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</row>
    <row r="10" spans="2:10" ht="28" x14ac:dyDescent="0.2">
      <c r="B10" s="11" t="s">
        <v>133</v>
      </c>
      <c r="C10" s="11" t="s">
        <v>42</v>
      </c>
      <c r="D10" s="11" t="s">
        <v>134</v>
      </c>
      <c r="E10" s="11" t="s">
        <v>44</v>
      </c>
      <c r="F10" s="11" t="s">
        <v>135</v>
      </c>
      <c r="G10" s="11" t="s">
        <v>136</v>
      </c>
      <c r="H10" s="11" t="s">
        <v>137</v>
      </c>
      <c r="I10" s="13" t="s">
        <v>122</v>
      </c>
      <c r="J10" s="11" t="s">
        <v>138</v>
      </c>
    </row>
    <row r="11" spans="2:10" ht="28" x14ac:dyDescent="0.2">
      <c r="B11" s="11" t="s">
        <v>139</v>
      </c>
      <c r="C11" s="11" t="s">
        <v>33</v>
      </c>
      <c r="D11" s="11" t="s">
        <v>51</v>
      </c>
      <c r="E11" s="11" t="s">
        <v>52</v>
      </c>
      <c r="F11" s="11" t="s">
        <v>140</v>
      </c>
      <c r="G11" s="11" t="s">
        <v>141</v>
      </c>
      <c r="H11" s="11" t="s">
        <v>142</v>
      </c>
      <c r="I11" s="12" t="s">
        <v>39</v>
      </c>
      <c r="J11" s="11" t="s">
        <v>56</v>
      </c>
    </row>
    <row r="12" spans="2:10" ht="28" x14ac:dyDescent="0.2">
      <c r="B12" s="11" t="s">
        <v>143</v>
      </c>
      <c r="C12" s="11" t="s">
        <v>42</v>
      </c>
      <c r="D12" s="11" t="s">
        <v>144</v>
      </c>
      <c r="E12" s="11" t="s">
        <v>145</v>
      </c>
      <c r="F12" s="11" t="s">
        <v>146</v>
      </c>
      <c r="G12" s="11" t="s">
        <v>147</v>
      </c>
      <c r="H12" s="11" t="s">
        <v>148</v>
      </c>
      <c r="I12" s="13" t="s">
        <v>122</v>
      </c>
      <c r="J12" s="11" t="s">
        <v>138</v>
      </c>
    </row>
    <row r="13" spans="2:10" ht="28" x14ac:dyDescent="0.2">
      <c r="B13" s="11" t="s">
        <v>149</v>
      </c>
      <c r="C13" s="11" t="s">
        <v>150</v>
      </c>
      <c r="D13" s="11" t="s">
        <v>151</v>
      </c>
      <c r="E13" s="11" t="s">
        <v>52</v>
      </c>
      <c r="F13" s="11" t="s">
        <v>152</v>
      </c>
      <c r="G13" s="11" t="s">
        <v>153</v>
      </c>
      <c r="H13" s="11" t="s">
        <v>154</v>
      </c>
      <c r="I13" s="13" t="s">
        <v>122</v>
      </c>
      <c r="J13" s="11" t="s">
        <v>138</v>
      </c>
    </row>
    <row r="14" spans="2:10" ht="28" x14ac:dyDescent="0.2">
      <c r="B14" s="11" t="s">
        <v>155</v>
      </c>
      <c r="C14" s="11" t="s">
        <v>33</v>
      </c>
      <c r="D14" s="11" t="s">
        <v>156</v>
      </c>
      <c r="E14" s="11" t="s">
        <v>157</v>
      </c>
      <c r="F14" s="11" t="s">
        <v>158</v>
      </c>
      <c r="G14" s="11" t="s">
        <v>159</v>
      </c>
      <c r="H14" s="11" t="s">
        <v>160</v>
      </c>
      <c r="I14" s="12" t="s">
        <v>39</v>
      </c>
      <c r="J14" s="1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Saujas Khanal</dc:creator>
  <cp:lastModifiedBy>Saujas Khanal</cp:lastModifiedBy>
  <dcterms:created xsi:type="dcterms:W3CDTF">2026-08-24T12:11:21Z</dcterms:created>
  <dcterms:modified xsi:type="dcterms:W3CDTF">2026-08-24T17:22:51Z</dcterms:modified>
</cp:coreProperties>
</file>